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f5a993a69405f0/Desktop/"/>
    </mc:Choice>
  </mc:AlternateContent>
  <xr:revisionPtr revIDLastSave="403" documentId="8_{6A53541D-57B1-4DC0-A91C-3E68F07566B9}" xr6:coauthVersionLast="47" xr6:coauthVersionMax="47" xr10:uidLastSave="{4A5838AB-7A7A-43F6-8140-827E2BE04C7C}"/>
  <bookViews>
    <workbookView xWindow="0" yWindow="0" windowWidth="10090" windowHeight="10170" firstSheet="4" activeTab="5" xr2:uid="{1C6BE7E7-8B56-478D-BE2C-7595D182CB7A}"/>
  </bookViews>
  <sheets>
    <sheet name="Cover" sheetId="1" r:id="rId1"/>
    <sheet name="Historical Financials" sheetId="2" r:id="rId2"/>
    <sheet name="Forecast" sheetId="3" r:id="rId3"/>
    <sheet name="WACC" sheetId="5" r:id="rId4"/>
    <sheet name="DCF Valuation" sheetId="4" r:id="rId5"/>
    <sheet name="Sensitiv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5" l="1"/>
  <c r="B5" i="4"/>
  <c r="B30" i="4"/>
  <c r="B29" i="4"/>
  <c r="C5" i="4"/>
  <c r="C6" i="4" s="1"/>
  <c r="D5" i="4"/>
  <c r="E5" i="4"/>
  <c r="F5" i="4"/>
  <c r="C3" i="4"/>
  <c r="D3" i="4"/>
  <c r="E3" i="4"/>
  <c r="F3" i="4"/>
  <c r="B10" i="4" s="1"/>
  <c r="B11" i="4" s="1"/>
  <c r="B12" i="4" s="1"/>
  <c r="B3" i="4"/>
  <c r="B13" i="5"/>
  <c r="B12" i="5"/>
  <c r="B11" i="5"/>
  <c r="B8" i="5"/>
  <c r="B5" i="5"/>
  <c r="C14" i="3"/>
  <c r="D14" i="3"/>
  <c r="E14" i="3"/>
  <c r="F14" i="3"/>
  <c r="B14" i="3"/>
  <c r="D13" i="3"/>
  <c r="E13" i="3"/>
  <c r="F13" i="3"/>
  <c r="C13" i="3"/>
  <c r="B13" i="3"/>
  <c r="C12" i="3"/>
  <c r="D12" i="3"/>
  <c r="E12" i="3"/>
  <c r="F12" i="3"/>
  <c r="B12" i="3"/>
  <c r="C11" i="3"/>
  <c r="D11" i="3"/>
  <c r="E11" i="3"/>
  <c r="F11" i="3"/>
  <c r="B11" i="3"/>
  <c r="C10" i="3"/>
  <c r="D10" i="3"/>
  <c r="E10" i="3"/>
  <c r="F10" i="3"/>
  <c r="B10" i="3"/>
  <c r="C9" i="3"/>
  <c r="D9" i="3"/>
  <c r="E9" i="3"/>
  <c r="F9" i="3"/>
  <c r="B9" i="3"/>
  <c r="C7" i="3"/>
  <c r="D7" i="3"/>
  <c r="E7" i="3"/>
  <c r="F7" i="3"/>
  <c r="B7" i="3"/>
  <c r="C6" i="3"/>
  <c r="D6" i="3"/>
  <c r="E6" i="3"/>
  <c r="F6" i="3"/>
  <c r="B6" i="3"/>
  <c r="C4" i="3"/>
  <c r="D4" i="3"/>
  <c r="E4" i="3"/>
  <c r="F4" i="3"/>
  <c r="B4" i="3"/>
  <c r="D2" i="3"/>
  <c r="E2" i="3" s="1"/>
  <c r="F2" i="3" s="1"/>
  <c r="C2" i="3"/>
  <c r="B2" i="3"/>
  <c r="E16" i="2"/>
  <c r="D16" i="2"/>
  <c r="B13" i="4" l="1"/>
  <c r="B17" i="4" s="1"/>
  <c r="E6" i="4"/>
  <c r="B6" i="4"/>
  <c r="D6" i="4"/>
  <c r="F6" i="4"/>
  <c r="B16" i="4" s="1"/>
  <c r="B18" i="4" l="1"/>
  <c r="B21" i="4" s="1"/>
  <c r="B24" i="4" s="1"/>
  <c r="B4" i="6"/>
  <c r="E5" i="6"/>
  <c r="C7" i="6"/>
  <c r="B3" i="6"/>
  <c r="C4" i="6"/>
  <c r="F5" i="6"/>
  <c r="D7" i="6"/>
  <c r="D4" i="6"/>
  <c r="B6" i="6"/>
  <c r="E7" i="6"/>
  <c r="E4" i="6"/>
  <c r="F7" i="6"/>
  <c r="C3" i="6"/>
  <c r="E6" i="6"/>
  <c r="C6" i="6"/>
  <c r="F4" i="6"/>
  <c r="D6" i="6"/>
  <c r="B5" i="6"/>
  <c r="D3" i="6"/>
  <c r="C5" i="6"/>
  <c r="F6" i="6"/>
  <c r="E3" i="6"/>
  <c r="D5" i="6"/>
  <c r="B7" i="6"/>
  <c r="F3" i="6"/>
  <c r="B31" i="4" l="1"/>
  <c r="B26" i="4"/>
  <c r="B33" i="4" s="1"/>
  <c r="B32" i="4"/>
</calcChain>
</file>

<file path=xl/sharedStrings.xml><?xml version="1.0" encoding="utf-8"?>
<sst xmlns="http://schemas.openxmlformats.org/spreadsheetml/2006/main" count="110" uniqueCount="89">
  <si>
    <t>Microsoft Corporation (MSFT)</t>
  </si>
  <si>
    <t>DCF Valuation</t>
  </si>
  <si>
    <t>Company</t>
  </si>
  <si>
    <t>Microsoft Corporation</t>
  </si>
  <si>
    <t>Ticker</t>
  </si>
  <si>
    <t>MSFT</t>
  </si>
  <si>
    <t>Valuation Method</t>
  </si>
  <si>
    <t>Discounted Cash Flow (DCF)</t>
  </si>
  <si>
    <t>Currency</t>
  </si>
  <si>
    <t>USD</t>
  </si>
  <si>
    <t>Purpose</t>
  </si>
  <si>
    <t>Estimate the intrinsic value of Microsoft using a</t>
  </si>
  <si>
    <t>discounted cash flow valuation.</t>
  </si>
  <si>
    <t>FY2023</t>
  </si>
  <si>
    <t>FY2022</t>
  </si>
  <si>
    <t>FY2024</t>
  </si>
  <si>
    <t>FY2025</t>
  </si>
  <si>
    <t>Revenue</t>
  </si>
  <si>
    <t>Operating Income</t>
  </si>
  <si>
    <t>D&amp;A</t>
  </si>
  <si>
    <t>CapEx</t>
  </si>
  <si>
    <t>Tax Expense</t>
  </si>
  <si>
    <t>$ in millions</t>
  </si>
  <si>
    <t>Operating current assets</t>
  </si>
  <si>
    <t>Accounts recievable</t>
  </si>
  <si>
    <t>Inventory</t>
  </si>
  <si>
    <t>Other current assets</t>
  </si>
  <si>
    <t>Operating current liabilities</t>
  </si>
  <si>
    <t>Accounts payable</t>
  </si>
  <si>
    <t>Unearned revenue</t>
  </si>
  <si>
    <t>Other current liabilities</t>
  </si>
  <si>
    <t>Net working capital</t>
  </si>
  <si>
    <t>Working Capital build</t>
  </si>
  <si>
    <t>Revenue Growth</t>
  </si>
  <si>
    <t>EBITDA</t>
  </si>
  <si>
    <t>EBITDA Margin</t>
  </si>
  <si>
    <t>EBIT</t>
  </si>
  <si>
    <t>Tax rate</t>
  </si>
  <si>
    <t>Tax on EBIT</t>
  </si>
  <si>
    <t>NOPAT</t>
  </si>
  <si>
    <t>NWC</t>
  </si>
  <si>
    <t>Change in NWC</t>
  </si>
  <si>
    <t>Free Cash Flow</t>
  </si>
  <si>
    <t>FY2026</t>
  </si>
  <si>
    <t>FY2027</t>
  </si>
  <si>
    <t>FY2028</t>
  </si>
  <si>
    <t>FY2029</t>
  </si>
  <si>
    <t>FY2030</t>
  </si>
  <si>
    <t>WACC Calculation</t>
  </si>
  <si>
    <t>Risk-free rate</t>
  </si>
  <si>
    <t>Beta</t>
  </si>
  <si>
    <t>Equity risk premium</t>
  </si>
  <si>
    <t>Cost of equity</t>
  </si>
  <si>
    <t>Pre-tax cost of Debt</t>
  </si>
  <si>
    <t>After-tax cost of debt</t>
  </si>
  <si>
    <t>Market value of equity</t>
  </si>
  <si>
    <t>Debt</t>
  </si>
  <si>
    <t>Totalcapital</t>
  </si>
  <si>
    <t>Equity weight</t>
  </si>
  <si>
    <t>Debt weight</t>
  </si>
  <si>
    <t>WACC</t>
  </si>
  <si>
    <t>Free cash flow</t>
  </si>
  <si>
    <t>Discount period</t>
  </si>
  <si>
    <t>Discount Factor</t>
  </si>
  <si>
    <t>Present value of FCF</t>
  </si>
  <si>
    <t>Terminal growth rate</t>
  </si>
  <si>
    <t>FY2030 FCF</t>
  </si>
  <si>
    <t>Terminal value</t>
  </si>
  <si>
    <t>PV of terminal value</t>
  </si>
  <si>
    <t>PV of Forecast FCF</t>
  </si>
  <si>
    <t>PV of Terminal Value</t>
  </si>
  <si>
    <t>Enterprise value</t>
  </si>
  <si>
    <t>Equity value bridge</t>
  </si>
  <si>
    <t>Cash &amp; short term investment</t>
  </si>
  <si>
    <t>Equity value</t>
  </si>
  <si>
    <t>Shares outstanding</t>
  </si>
  <si>
    <t>Implied Share price</t>
  </si>
  <si>
    <t>WACC / Terminal Growth</t>
  </si>
  <si>
    <t xml:space="preserve">Implied Share Price </t>
  </si>
  <si>
    <t>Valuation Summary</t>
  </si>
  <si>
    <t>Implied share price</t>
  </si>
  <si>
    <t>Assumption</t>
  </si>
  <si>
    <t>Value</t>
  </si>
  <si>
    <t>Terminal Growth</t>
  </si>
  <si>
    <t>Forecast Period</t>
  </si>
  <si>
    <t>2026-2030</t>
  </si>
  <si>
    <t>DCF</t>
  </si>
  <si>
    <t>FY2031 FCF</t>
  </si>
  <si>
    <t>DCF Valuation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</si>
</sst>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[$$-45C]#,##0.00"/>
    <numFmt numFmtId="167" formatCode="_-[$$-45C]* #,##0.00_-;\-[$$-45C]* #,##0.00_-;_-[$$-45C]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1" fillId="0" borderId="1" xfId="0" applyFont="1" applyBorder="1"/>
    <xf numFmtId="9" fontId="1" fillId="0" borderId="2" xfId="0" applyNumberFormat="1" applyFont="1" applyBorder="1"/>
    <xf numFmtId="10" fontId="1" fillId="0" borderId="2" xfId="0" applyNumberFormat="1" applyFont="1" applyBorder="1"/>
    <xf numFmtId="9" fontId="1" fillId="0" borderId="3" xfId="0" applyNumberFormat="1" applyFont="1" applyBorder="1"/>
    <xf numFmtId="9" fontId="1" fillId="0" borderId="4" xfId="0" applyNumberFormat="1" applyFont="1" applyBorder="1"/>
    <xf numFmtId="10" fontId="1" fillId="0" borderId="4" xfId="0" applyNumberFormat="1" applyFont="1" applyBorder="1"/>
    <xf numFmtId="9" fontId="1" fillId="0" borderId="5" xfId="0" applyNumberFormat="1" applyFont="1" applyBorder="1"/>
    <xf numFmtId="164" fontId="0" fillId="0" borderId="0" xfId="0" applyNumberFormat="1"/>
    <xf numFmtId="0" fontId="2" fillId="0" borderId="0" xfId="0" applyFont="1"/>
    <xf numFmtId="0" fontId="0" fillId="0" borderId="0" xfId="0" applyFont="1"/>
    <xf numFmtId="166" fontId="0" fillId="0" borderId="0" xfId="0" applyNumberFormat="1"/>
    <xf numFmtId="166" fontId="1" fillId="0" borderId="0" xfId="0" applyNumberFormat="1" applyFont="1"/>
    <xf numFmtId="166" fontId="0" fillId="0" borderId="0" xfId="0" applyNumberFormat="1" applyFont="1"/>
    <xf numFmtId="166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33C-0B78-41F5-96AC-7BF1A63BC9BD}">
  <dimension ref="A1:B8"/>
  <sheetViews>
    <sheetView workbookViewId="0">
      <selection activeCell="E5" sqref="E5"/>
    </sheetView>
  </sheetViews>
  <sheetFormatPr defaultRowHeight="14.5" x14ac:dyDescent="0.35"/>
  <cols>
    <col min="1" max="1" width="25.26953125" customWidth="1"/>
    <col min="2" max="2" width="43.179687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ht="15.5" customHeight="1" x14ac:dyDescent="0.35">
      <c r="A7" t="s">
        <v>10</v>
      </c>
      <c r="B7" t="s">
        <v>11</v>
      </c>
    </row>
    <row r="8" spans="1:2" x14ac:dyDescent="0.35">
      <c r="B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A1B-687F-4A6E-ADD5-7109F1111AB9}">
  <dimension ref="A1:E16"/>
  <sheetViews>
    <sheetView workbookViewId="0">
      <selection activeCell="E6" sqref="E6"/>
    </sheetView>
  </sheetViews>
  <sheetFormatPr defaultRowHeight="14.5" x14ac:dyDescent="0.35"/>
  <cols>
    <col min="1" max="1" width="22.90625" customWidth="1"/>
  </cols>
  <sheetData>
    <row r="1" spans="1:5" x14ac:dyDescent="0.35">
      <c r="A1" t="s">
        <v>22</v>
      </c>
      <c r="B1" t="s">
        <v>14</v>
      </c>
      <c r="C1" t="s">
        <v>13</v>
      </c>
      <c r="D1" t="s">
        <v>15</v>
      </c>
      <c r="E1" t="s">
        <v>16</v>
      </c>
    </row>
    <row r="2" spans="1:5" x14ac:dyDescent="0.35">
      <c r="A2" t="s">
        <v>17</v>
      </c>
      <c r="B2">
        <v>198270</v>
      </c>
      <c r="C2">
        <v>211915</v>
      </c>
      <c r="D2">
        <v>245122</v>
      </c>
      <c r="E2">
        <v>281724</v>
      </c>
    </row>
    <row r="3" spans="1:5" x14ac:dyDescent="0.35">
      <c r="A3" t="s">
        <v>18</v>
      </c>
      <c r="B3">
        <v>83383</v>
      </c>
      <c r="C3">
        <v>88523</v>
      </c>
      <c r="D3">
        <v>109433</v>
      </c>
      <c r="E3">
        <v>128528</v>
      </c>
    </row>
    <row r="4" spans="1:5" x14ac:dyDescent="0.35">
      <c r="A4" t="s">
        <v>19</v>
      </c>
      <c r="B4">
        <v>13775</v>
      </c>
      <c r="C4">
        <v>13861</v>
      </c>
      <c r="D4">
        <v>22287</v>
      </c>
      <c r="E4">
        <v>34153</v>
      </c>
    </row>
    <row r="5" spans="1:5" x14ac:dyDescent="0.35">
      <c r="A5" t="s">
        <v>20</v>
      </c>
      <c r="B5">
        <v>23886</v>
      </c>
      <c r="C5">
        <v>28107</v>
      </c>
      <c r="D5">
        <v>44477</v>
      </c>
      <c r="E5">
        <v>64551</v>
      </c>
    </row>
    <row r="6" spans="1:5" x14ac:dyDescent="0.35">
      <c r="A6" t="s">
        <v>21</v>
      </c>
      <c r="B6" s="1">
        <v>10978</v>
      </c>
      <c r="C6">
        <v>16950</v>
      </c>
      <c r="D6">
        <v>19651</v>
      </c>
      <c r="E6">
        <v>21795</v>
      </c>
    </row>
    <row r="7" spans="1:5" x14ac:dyDescent="0.35">
      <c r="A7" t="s">
        <v>32</v>
      </c>
    </row>
    <row r="8" spans="1:5" x14ac:dyDescent="0.35">
      <c r="A8" t="s">
        <v>23</v>
      </c>
    </row>
    <row r="9" spans="1:5" x14ac:dyDescent="0.35">
      <c r="A9" t="s">
        <v>24</v>
      </c>
      <c r="D9">
        <v>56924</v>
      </c>
      <c r="E9">
        <v>69905</v>
      </c>
    </row>
    <row r="10" spans="1:5" x14ac:dyDescent="0.35">
      <c r="A10" t="s">
        <v>25</v>
      </c>
      <c r="D10">
        <v>1246</v>
      </c>
      <c r="E10">
        <v>938</v>
      </c>
    </row>
    <row r="11" spans="1:5" x14ac:dyDescent="0.35">
      <c r="A11" t="s">
        <v>26</v>
      </c>
      <c r="D11">
        <v>26021</v>
      </c>
      <c r="E11">
        <v>25723</v>
      </c>
    </row>
    <row r="12" spans="1:5" x14ac:dyDescent="0.35">
      <c r="A12" t="s">
        <v>27</v>
      </c>
    </row>
    <row r="13" spans="1:5" x14ac:dyDescent="0.35">
      <c r="A13" t="s">
        <v>28</v>
      </c>
      <c r="D13">
        <v>21996</v>
      </c>
      <c r="E13">
        <v>27724</v>
      </c>
    </row>
    <row r="14" spans="1:5" x14ac:dyDescent="0.35">
      <c r="A14" t="s">
        <v>29</v>
      </c>
      <c r="D14">
        <v>57582</v>
      </c>
      <c r="E14">
        <v>64555</v>
      </c>
    </row>
    <row r="15" spans="1:5" x14ac:dyDescent="0.35">
      <c r="A15" t="s">
        <v>30</v>
      </c>
      <c r="D15">
        <v>19185</v>
      </c>
      <c r="E15">
        <v>25020</v>
      </c>
    </row>
    <row r="16" spans="1:5" x14ac:dyDescent="0.35">
      <c r="A16" t="s">
        <v>31</v>
      </c>
      <c r="D16">
        <f>SUM(D9:D11)-SUM(D13:D15)</f>
        <v>-14572</v>
      </c>
      <c r="E16">
        <f>SUM(E9:E11)-SUM(E13:E15)</f>
        <v>-20733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0384-F277-4593-8601-B250D542149F}">
  <dimension ref="A1:F14"/>
  <sheetViews>
    <sheetView workbookViewId="0">
      <selection activeCell="I9" sqref="I9"/>
    </sheetView>
  </sheetViews>
  <sheetFormatPr defaultRowHeight="14.5" x14ac:dyDescent="0.35"/>
  <cols>
    <col min="1" max="1" width="14.6328125" customWidth="1"/>
  </cols>
  <sheetData>
    <row r="1" spans="1:6" x14ac:dyDescent="0.35">
      <c r="A1" t="s">
        <v>22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5">
      <c r="A2" t="s">
        <v>17</v>
      </c>
      <c r="B2">
        <f>'Historical Financials'!E2*(1+B3)</f>
        <v>315530.88</v>
      </c>
      <c r="C2">
        <f>B2*(1+C3)</f>
        <v>350239.27680000005</v>
      </c>
      <c r="D2">
        <f t="shared" ref="D2:F2" si="0">C2*(1+D3)</f>
        <v>385263.20448000007</v>
      </c>
      <c r="E2">
        <f t="shared" si="0"/>
        <v>419936.89288320008</v>
      </c>
      <c r="F2">
        <f t="shared" si="0"/>
        <v>453531.8443138561</v>
      </c>
    </row>
    <row r="3" spans="1:6" x14ac:dyDescent="0.35">
      <c r="A3" t="s">
        <v>33</v>
      </c>
      <c r="B3" s="2">
        <v>0.12</v>
      </c>
      <c r="C3" s="2">
        <v>0.11</v>
      </c>
      <c r="D3" s="2">
        <v>0.1</v>
      </c>
      <c r="E3" s="2">
        <v>0.09</v>
      </c>
      <c r="F3" s="2">
        <v>0.08</v>
      </c>
    </row>
    <row r="4" spans="1:6" x14ac:dyDescent="0.35">
      <c r="A4" t="s">
        <v>34</v>
      </c>
      <c r="B4">
        <f>B2*B5</f>
        <v>183007.91039999999</v>
      </c>
      <c r="C4">
        <f t="shared" ref="C4:F4" si="1">C2*C5</f>
        <v>206641.17331200003</v>
      </c>
      <c r="D4">
        <f t="shared" si="1"/>
        <v>231157.92268800005</v>
      </c>
      <c r="E4">
        <f t="shared" si="1"/>
        <v>256161.50465875203</v>
      </c>
      <c r="F4">
        <f t="shared" si="1"/>
        <v>281189.74347459077</v>
      </c>
    </row>
    <row r="5" spans="1:6" x14ac:dyDescent="0.35">
      <c r="A5" t="s">
        <v>35</v>
      </c>
      <c r="B5" s="2">
        <v>0.57999999999999996</v>
      </c>
      <c r="C5" s="2">
        <v>0.59</v>
      </c>
      <c r="D5" s="2">
        <v>0.6</v>
      </c>
      <c r="E5" s="2">
        <v>0.61</v>
      </c>
      <c r="F5" s="2">
        <v>0.62</v>
      </c>
    </row>
    <row r="6" spans="1:6" x14ac:dyDescent="0.35">
      <c r="A6" t="s">
        <v>19</v>
      </c>
      <c r="B6">
        <f>B2*12.1%</f>
        <v>38179.23648</v>
      </c>
      <c r="C6">
        <f t="shared" ref="C6:F6" si="2">C2*12.1%</f>
        <v>42378.952492800003</v>
      </c>
      <c r="D6">
        <f t="shared" si="2"/>
        <v>46616.847742080005</v>
      </c>
      <c r="E6">
        <f t="shared" si="2"/>
        <v>50812.364038867207</v>
      </c>
      <c r="F6">
        <f t="shared" si="2"/>
        <v>54877.353161976585</v>
      </c>
    </row>
    <row r="7" spans="1:6" x14ac:dyDescent="0.35">
      <c r="A7" t="s">
        <v>36</v>
      </c>
      <c r="B7">
        <f>B4-B6</f>
        <v>144828.67392</v>
      </c>
      <c r="C7">
        <f t="shared" ref="C7:F7" si="3">C4-C6</f>
        <v>164262.22081920004</v>
      </c>
      <c r="D7">
        <f t="shared" si="3"/>
        <v>184541.07494592003</v>
      </c>
      <c r="E7">
        <f t="shared" si="3"/>
        <v>205349.14061988483</v>
      </c>
      <c r="F7">
        <f t="shared" si="3"/>
        <v>226312.39031261418</v>
      </c>
    </row>
    <row r="8" spans="1:6" x14ac:dyDescent="0.35">
      <c r="A8" t="s">
        <v>37</v>
      </c>
      <c r="B8" s="3">
        <v>0.17499999999999999</v>
      </c>
      <c r="C8" s="3">
        <v>0.17499999999999999</v>
      </c>
      <c r="D8" s="3">
        <v>0.17499999999999999</v>
      </c>
      <c r="E8" s="3">
        <v>0.17499999999999999</v>
      </c>
      <c r="F8" s="3">
        <v>0.17499999999999999</v>
      </c>
    </row>
    <row r="9" spans="1:6" x14ac:dyDescent="0.35">
      <c r="A9" t="s">
        <v>38</v>
      </c>
      <c r="B9">
        <f>B7*B8</f>
        <v>25345.017936</v>
      </c>
      <c r="C9">
        <f t="shared" ref="C9:F9" si="4">C7*C8</f>
        <v>28745.888643360006</v>
      </c>
      <c r="D9">
        <f t="shared" si="4"/>
        <v>32294.688115536002</v>
      </c>
      <c r="E9">
        <f t="shared" si="4"/>
        <v>35936.099608479839</v>
      </c>
      <c r="F9">
        <f t="shared" si="4"/>
        <v>39604.668304707477</v>
      </c>
    </row>
    <row r="10" spans="1:6" x14ac:dyDescent="0.35">
      <c r="A10" t="s">
        <v>39</v>
      </c>
      <c r="B10">
        <f>B7-B9</f>
        <v>119483.655984</v>
      </c>
      <c r="C10">
        <f t="shared" ref="C10:F10" si="5">C7-C9</f>
        <v>135516.33217584004</v>
      </c>
      <c r="D10">
        <f t="shared" si="5"/>
        <v>152246.38683038403</v>
      </c>
      <c r="E10">
        <f t="shared" si="5"/>
        <v>169413.041011405</v>
      </c>
      <c r="F10">
        <f t="shared" si="5"/>
        <v>186707.7220079067</v>
      </c>
    </row>
    <row r="11" spans="1:6" x14ac:dyDescent="0.35">
      <c r="A11" t="s">
        <v>20</v>
      </c>
      <c r="B11">
        <f>B2*22.9%</f>
        <v>72256.571519999998</v>
      </c>
      <c r="C11">
        <f t="shared" ref="C11:F11" si="6">C2*22.9%</f>
        <v>80204.794387200003</v>
      </c>
      <c r="D11">
        <f t="shared" si="6"/>
        <v>88225.273825920012</v>
      </c>
      <c r="E11">
        <f t="shared" si="6"/>
        <v>96165.548470252805</v>
      </c>
      <c r="F11">
        <f t="shared" si="6"/>
        <v>103858.79234787304</v>
      </c>
    </row>
    <row r="12" spans="1:6" x14ac:dyDescent="0.35">
      <c r="A12" t="s">
        <v>40</v>
      </c>
      <c r="B12">
        <f>B2*(-7.36%)</f>
        <v>-23223.072767999998</v>
      </c>
      <c r="C12">
        <f t="shared" ref="C12:F12" si="7">C2*(-7.36%)</f>
        <v>-25777.610772480002</v>
      </c>
      <c r="D12">
        <f t="shared" si="7"/>
        <v>-28355.371849728006</v>
      </c>
      <c r="E12">
        <f t="shared" si="7"/>
        <v>-30907.355316203524</v>
      </c>
      <c r="F12">
        <f t="shared" si="7"/>
        <v>-33379.94374149981</v>
      </c>
    </row>
    <row r="13" spans="1:6" x14ac:dyDescent="0.35">
      <c r="A13" t="s">
        <v>41</v>
      </c>
      <c r="B13">
        <f>B12-'Historical Financials'!E16</f>
        <v>-2490.0727679999982</v>
      </c>
      <c r="C13">
        <f>C12-B12</f>
        <v>-2554.538004480004</v>
      </c>
      <c r="D13">
        <f t="shared" ref="D13:F13" si="8">D12-C12</f>
        <v>-2577.7610772480039</v>
      </c>
      <c r="E13">
        <f t="shared" si="8"/>
        <v>-2551.9834664755181</v>
      </c>
      <c r="F13">
        <f t="shared" si="8"/>
        <v>-2472.588425296286</v>
      </c>
    </row>
    <row r="14" spans="1:6" x14ac:dyDescent="0.35">
      <c r="A14" t="s">
        <v>42</v>
      </c>
      <c r="B14">
        <f>B10+B6-B11-B13</f>
        <v>87896.393712000005</v>
      </c>
      <c r="C14">
        <f t="shared" ref="C14:F14" si="9">C10+C6-C11-C13</f>
        <v>100245.02828592007</v>
      </c>
      <c r="D14">
        <f t="shared" si="9"/>
        <v>113215.721823792</v>
      </c>
      <c r="E14">
        <f t="shared" si="9"/>
        <v>126611.84004649492</v>
      </c>
      <c r="F14">
        <f t="shared" si="9"/>
        <v>140198.87124730652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C7CD-0523-4F94-8672-2A30B8CDCD78}">
  <dimension ref="A1:B14"/>
  <sheetViews>
    <sheetView workbookViewId="0">
      <selection activeCell="A14" sqref="A14"/>
    </sheetView>
  </sheetViews>
  <sheetFormatPr defaultRowHeight="14.5" x14ac:dyDescent="0.35"/>
  <cols>
    <col min="1" max="1" width="19.08984375" customWidth="1"/>
    <col min="2" max="2" width="14" bestFit="1" customWidth="1"/>
  </cols>
  <sheetData>
    <row r="1" spans="1:2" x14ac:dyDescent="0.35">
      <c r="A1" s="7" t="s">
        <v>48</v>
      </c>
      <c r="B1" s="7"/>
    </row>
    <row r="2" spans="1:2" x14ac:dyDescent="0.35">
      <c r="A2" t="s">
        <v>49</v>
      </c>
      <c r="B2" s="3">
        <v>4.7699999999999999E-2</v>
      </c>
    </row>
    <row r="3" spans="1:2" x14ac:dyDescent="0.35">
      <c r="A3" t="s">
        <v>50</v>
      </c>
      <c r="B3" s="5">
        <v>1</v>
      </c>
    </row>
    <row r="4" spans="1:2" x14ac:dyDescent="0.35">
      <c r="A4" t="s">
        <v>51</v>
      </c>
      <c r="B4" s="3">
        <v>4.4999999999999998E-2</v>
      </c>
    </row>
    <row r="5" spans="1:2" x14ac:dyDescent="0.35">
      <c r="A5" t="s">
        <v>52</v>
      </c>
      <c r="B5" s="3">
        <f>B2+B3*B4</f>
        <v>9.2700000000000005E-2</v>
      </c>
    </row>
    <row r="6" spans="1:2" x14ac:dyDescent="0.35">
      <c r="A6" t="s">
        <v>53</v>
      </c>
      <c r="B6" s="3">
        <v>3.5000000000000003E-2</v>
      </c>
    </row>
    <row r="7" spans="1:2" x14ac:dyDescent="0.35">
      <c r="A7" t="s">
        <v>37</v>
      </c>
      <c r="B7" s="3">
        <v>0.17499999999999999</v>
      </c>
    </row>
    <row r="8" spans="1:2" x14ac:dyDescent="0.35">
      <c r="A8" t="s">
        <v>54</v>
      </c>
      <c r="B8" s="3">
        <f>B6*(1-B7)</f>
        <v>2.8875000000000001E-2</v>
      </c>
    </row>
    <row r="9" spans="1:2" x14ac:dyDescent="0.35">
      <c r="A9" t="s">
        <v>55</v>
      </c>
      <c r="B9" s="4">
        <v>3823000</v>
      </c>
    </row>
    <row r="10" spans="1:2" x14ac:dyDescent="0.35">
      <c r="A10" t="s">
        <v>56</v>
      </c>
      <c r="B10" s="4">
        <v>40294</v>
      </c>
    </row>
    <row r="11" spans="1:2" x14ac:dyDescent="0.35">
      <c r="A11" t="s">
        <v>57</v>
      </c>
      <c r="B11" s="4">
        <f>B9+B10</f>
        <v>3863294</v>
      </c>
    </row>
    <row r="12" spans="1:2" x14ac:dyDescent="0.35">
      <c r="A12" t="s">
        <v>58</v>
      </c>
      <c r="B12" s="3">
        <f>B9/B11</f>
        <v>0.98957004048876429</v>
      </c>
    </row>
    <row r="13" spans="1:2" x14ac:dyDescent="0.35">
      <c r="A13" t="s">
        <v>59</v>
      </c>
      <c r="B13" s="3">
        <f>B10/B11</f>
        <v>1.0429959511235749E-2</v>
      </c>
    </row>
    <row r="14" spans="1:2" x14ac:dyDescent="0.35">
      <c r="A14" s="7" t="s">
        <v>60</v>
      </c>
      <c r="B14" s="8">
        <f>B12*B5+B13*B8</f>
        <v>9.2034307834195389E-2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752C-2F2F-437D-A4BC-E804185DDF0E}">
  <dimension ref="A1:F39"/>
  <sheetViews>
    <sheetView topLeftCell="A7" zoomScale="58" workbookViewId="0">
      <selection activeCell="G30" sqref="G30"/>
    </sheetView>
  </sheetViews>
  <sheetFormatPr defaultRowHeight="14.5" x14ac:dyDescent="0.35"/>
  <cols>
    <col min="1" max="1" width="26" customWidth="1"/>
    <col min="2" max="2" width="13.90625" customWidth="1"/>
    <col min="3" max="3" width="13.08984375" customWidth="1"/>
    <col min="4" max="4" width="12" bestFit="1" customWidth="1"/>
    <col min="5" max="5" width="13.08984375" bestFit="1" customWidth="1"/>
    <col min="6" max="6" width="13.08984375" customWidth="1"/>
  </cols>
  <sheetData>
    <row r="1" spans="1:6" x14ac:dyDescent="0.35">
      <c r="A1" s="7" t="s">
        <v>1</v>
      </c>
    </row>
    <row r="2" spans="1:6" x14ac:dyDescent="0.35">
      <c r="A2" t="s">
        <v>22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35">
      <c r="A3" t="s">
        <v>61</v>
      </c>
      <c r="B3" s="4">
        <f>Forecast!B14</f>
        <v>87896.393712000005</v>
      </c>
      <c r="C3" s="4">
        <f>Forecast!C14</f>
        <v>100245.02828592007</v>
      </c>
      <c r="D3" s="4">
        <f>Forecast!D14</f>
        <v>113215.721823792</v>
      </c>
      <c r="E3" s="4">
        <f>Forecast!E14</f>
        <v>126611.84004649492</v>
      </c>
      <c r="F3" s="4">
        <f>Forecast!F14</f>
        <v>140198.87124730652</v>
      </c>
    </row>
    <row r="4" spans="1:6" x14ac:dyDescent="0.35">
      <c r="A4" t="s">
        <v>62</v>
      </c>
      <c r="B4">
        <v>1</v>
      </c>
      <c r="C4">
        <v>2</v>
      </c>
      <c r="D4">
        <v>3</v>
      </c>
      <c r="E4">
        <v>4</v>
      </c>
      <c r="F4">
        <v>5</v>
      </c>
    </row>
    <row r="5" spans="1:6" x14ac:dyDescent="0.35">
      <c r="A5" t="s">
        <v>63</v>
      </c>
      <c r="B5" s="16">
        <f>1/(1+WACC!$B$14)^B4</f>
        <v>0.91572214611395797</v>
      </c>
      <c r="C5" s="16">
        <f>1/(1+WACC!$B$14)^C4</f>
        <v>0.83854704888355291</v>
      </c>
      <c r="D5" s="16">
        <f>1/(1+WACC!$B$14)^D4</f>
        <v>0.76787610322117306</v>
      </c>
      <c r="E5" s="16">
        <f>1/(1+WACC!$B$14)^E4</f>
        <v>0.70316115319131578</v>
      </c>
      <c r="F5" s="16">
        <f>1/(1+WACC!$B$14)^F4</f>
        <v>0.64390024026431725</v>
      </c>
    </row>
    <row r="6" spans="1:6" x14ac:dyDescent="0.35">
      <c r="A6" t="s">
        <v>64</v>
      </c>
      <c r="B6">
        <f>B3*B5</f>
        <v>80488.674285630041</v>
      </c>
      <c r="C6">
        <f t="shared" ref="C6:F6" si="0">C3*C5</f>
        <v>84060.172634406554</v>
      </c>
      <c r="D6">
        <f t="shared" si="0"/>
        <v>86935.647297425719</v>
      </c>
      <c r="E6">
        <f t="shared" si="0"/>
        <v>89028.527454767784</v>
      </c>
      <c r="F6">
        <f t="shared" si="0"/>
        <v>90274.086880926756</v>
      </c>
    </row>
    <row r="8" spans="1:6" x14ac:dyDescent="0.35">
      <c r="A8" s="7" t="s">
        <v>67</v>
      </c>
    </row>
    <row r="9" spans="1:6" x14ac:dyDescent="0.35">
      <c r="A9" t="s">
        <v>65</v>
      </c>
      <c r="B9" s="3">
        <v>0.03</v>
      </c>
    </row>
    <row r="10" spans="1:6" x14ac:dyDescent="0.35">
      <c r="A10" t="s">
        <v>66</v>
      </c>
      <c r="B10" s="19">
        <f>F3</f>
        <v>140198.87124730652</v>
      </c>
    </row>
    <row r="11" spans="1:6" x14ac:dyDescent="0.35">
      <c r="A11" t="s">
        <v>87</v>
      </c>
      <c r="B11" s="19">
        <f>B10*(1+B9)</f>
        <v>144404.83738472572</v>
      </c>
    </row>
    <row r="12" spans="1:6" x14ac:dyDescent="0.35">
      <c r="A12" t="s">
        <v>67</v>
      </c>
      <c r="B12" s="19">
        <f>B11/(WACC!$B$14-B9)</f>
        <v>2327822.1749598524</v>
      </c>
    </row>
    <row r="13" spans="1:6" x14ac:dyDescent="0.35">
      <c r="A13" t="s">
        <v>68</v>
      </c>
      <c r="B13" s="19">
        <f>B12*F5</f>
        <v>1498885.2577492546</v>
      </c>
    </row>
    <row r="14" spans="1:6" x14ac:dyDescent="0.35">
      <c r="B14" s="19"/>
    </row>
    <row r="15" spans="1:6" x14ac:dyDescent="0.35">
      <c r="A15" s="7" t="s">
        <v>88</v>
      </c>
      <c r="B15" s="20"/>
    </row>
    <row r="16" spans="1:6" x14ac:dyDescent="0.35">
      <c r="A16" s="18" t="s">
        <v>69</v>
      </c>
      <c r="B16" s="21">
        <f>SUM(B6:F6)</f>
        <v>430787.10855315684</v>
      </c>
    </row>
    <row r="17" spans="1:2" x14ac:dyDescent="0.35">
      <c r="A17" s="18" t="s">
        <v>70</v>
      </c>
      <c r="B17" s="21">
        <f>B13</f>
        <v>1498885.2577492546</v>
      </c>
    </row>
    <row r="18" spans="1:2" x14ac:dyDescent="0.35">
      <c r="A18" s="17" t="s">
        <v>71</v>
      </c>
      <c r="B18" s="22">
        <f>B16+B17</f>
        <v>1929672.3663024115</v>
      </c>
    </row>
    <row r="19" spans="1:2" x14ac:dyDescent="0.35">
      <c r="A19" s="17"/>
      <c r="B19" s="22"/>
    </row>
    <row r="20" spans="1:2" x14ac:dyDescent="0.35">
      <c r="A20" s="7" t="s">
        <v>72</v>
      </c>
      <c r="B20" s="20"/>
    </row>
    <row r="21" spans="1:2" x14ac:dyDescent="0.35">
      <c r="A21" s="18" t="s">
        <v>71</v>
      </c>
      <c r="B21" s="21">
        <f>B18</f>
        <v>1929672.3663024115</v>
      </c>
    </row>
    <row r="22" spans="1:2" x14ac:dyDescent="0.35">
      <c r="A22" s="18" t="s">
        <v>73</v>
      </c>
      <c r="B22" s="21">
        <v>76843</v>
      </c>
    </row>
    <row r="23" spans="1:2" x14ac:dyDescent="0.35">
      <c r="A23" s="18" t="s">
        <v>56</v>
      </c>
      <c r="B23" s="21">
        <v>40294</v>
      </c>
    </row>
    <row r="24" spans="1:2" x14ac:dyDescent="0.35">
      <c r="A24" s="18" t="s">
        <v>74</v>
      </c>
      <c r="B24" s="21">
        <f>B21+B22-B23</f>
        <v>1966221.3663024115</v>
      </c>
    </row>
    <row r="25" spans="1:2" x14ac:dyDescent="0.35">
      <c r="A25" s="18" t="s">
        <v>75</v>
      </c>
      <c r="B25" s="21">
        <v>7427</v>
      </c>
    </row>
    <row r="26" spans="1:2" x14ac:dyDescent="0.35">
      <c r="A26" s="7" t="s">
        <v>76</v>
      </c>
      <c r="B26" s="20">
        <f>B24/B25</f>
        <v>264.73964808164959</v>
      </c>
    </row>
    <row r="28" spans="1:2" x14ac:dyDescent="0.35">
      <c r="A28" s="7" t="s">
        <v>79</v>
      </c>
    </row>
    <row r="29" spans="1:2" x14ac:dyDescent="0.35">
      <c r="A29" t="s">
        <v>60</v>
      </c>
      <c r="B29" s="3">
        <f>WACC!B14</f>
        <v>9.2034307834195389E-2</v>
      </c>
    </row>
    <row r="30" spans="1:2" x14ac:dyDescent="0.35">
      <c r="A30" t="s">
        <v>65</v>
      </c>
      <c r="B30" s="3">
        <f>B9</f>
        <v>0.03</v>
      </c>
    </row>
    <row r="31" spans="1:2" x14ac:dyDescent="0.35">
      <c r="A31" t="s">
        <v>71</v>
      </c>
      <c r="B31" s="19">
        <f>B18</f>
        <v>1929672.3663024115</v>
      </c>
    </row>
    <row r="32" spans="1:2" x14ac:dyDescent="0.35">
      <c r="A32" t="s">
        <v>74</v>
      </c>
      <c r="B32" s="19">
        <f>B24</f>
        <v>1966221.3663024115</v>
      </c>
    </row>
    <row r="33" spans="1:2" x14ac:dyDescent="0.35">
      <c r="A33" s="7" t="s">
        <v>80</v>
      </c>
      <c r="B33" s="20">
        <f>B26</f>
        <v>264.73964808164959</v>
      </c>
    </row>
    <row r="35" spans="1:2" x14ac:dyDescent="0.35">
      <c r="A35" s="7" t="s">
        <v>81</v>
      </c>
      <c r="B35" s="7" t="s">
        <v>82</v>
      </c>
    </row>
    <row r="36" spans="1:2" x14ac:dyDescent="0.35">
      <c r="A36" t="s">
        <v>60</v>
      </c>
      <c r="B36" s="3">
        <v>9.1999999999999998E-2</v>
      </c>
    </row>
    <row r="37" spans="1:2" x14ac:dyDescent="0.35">
      <c r="A37" s="18" t="s">
        <v>83</v>
      </c>
      <c r="B37" s="3">
        <v>0.03</v>
      </c>
    </row>
    <row r="38" spans="1:2" x14ac:dyDescent="0.35">
      <c r="A38" t="s">
        <v>6</v>
      </c>
      <c r="B38" t="s">
        <v>86</v>
      </c>
    </row>
    <row r="39" spans="1:2" x14ac:dyDescent="0.35">
      <c r="A39" s="18" t="s">
        <v>84</v>
      </c>
      <c r="B39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06BA-AA0D-4E0B-AB0C-124CBB9A2230}">
  <dimension ref="A1:F7"/>
  <sheetViews>
    <sheetView tabSelected="1" workbookViewId="0">
      <selection activeCell="F7" sqref="B3:F7"/>
    </sheetView>
  </sheetViews>
  <sheetFormatPr defaultRowHeight="14.5" x14ac:dyDescent="0.35"/>
  <cols>
    <col min="1" max="1" width="26.26953125" customWidth="1"/>
    <col min="2" max="2" width="8.7265625" customWidth="1"/>
  </cols>
  <sheetData>
    <row r="1" spans="1:6" x14ac:dyDescent="0.35">
      <c r="A1" s="6" t="s">
        <v>78</v>
      </c>
      <c r="B1" s="7">
        <v>264.74</v>
      </c>
      <c r="C1" s="7"/>
      <c r="D1" s="7"/>
      <c r="E1" s="7"/>
      <c r="F1" s="7"/>
    </row>
    <row r="2" spans="1:6" x14ac:dyDescent="0.35">
      <c r="A2" s="9" t="s">
        <v>77</v>
      </c>
      <c r="B2" s="10">
        <v>0.02</v>
      </c>
      <c r="C2" s="11">
        <v>2.5000000000000001E-2</v>
      </c>
      <c r="D2" s="10">
        <v>0.03</v>
      </c>
      <c r="E2" s="11">
        <v>3.5000000000000003E-2</v>
      </c>
      <c r="F2" s="12">
        <v>0.04</v>
      </c>
    </row>
    <row r="3" spans="1:6" x14ac:dyDescent="0.35">
      <c r="A3" s="13">
        <v>0.08</v>
      </c>
      <c r="B3" s="23">
        <f>('DCF Valuation'!$B$16+('DCF Valuation'!$F$3*(1+B$2)/(($A3)-B$2))*'DCF Valuation'!$F$5+'DCF Valuation'!$B$22-'DCF Valuation'!$B$23)/'DCF Valuation'!$B$25</f>
        <v>269.55642729620462</v>
      </c>
      <c r="C3" s="23">
        <f>('DCF Valuation'!$B$16+('DCF Valuation'!$F$3*(1+C$2)/(($A3)-C$2))*'DCF Valuation'!$F$5+'DCF Valuation'!$B$22-'DCF Valuation'!$B$23)/'DCF Valuation'!$B$25</f>
        <v>289.44618535166171</v>
      </c>
      <c r="D3" s="23">
        <f>('DCF Valuation'!$B$16+('DCF Valuation'!$F$3*(1+D$2)/(($A3)-D$2))*'DCF Valuation'!$F$5+'DCF Valuation'!$B$22-'DCF Valuation'!$B$23)/'DCF Valuation'!$B$25</f>
        <v>313.31389501821025</v>
      </c>
      <c r="E3" s="23">
        <f>('DCF Valuation'!$B$16+('DCF Valuation'!$F$3*(1+E$2)/(($A3)-E$2))*'DCF Valuation'!$F$5+'DCF Valuation'!$B$22-'DCF Valuation'!$B$23)/'DCF Valuation'!$B$25</f>
        <v>342.48554016621409</v>
      </c>
      <c r="F3" s="23">
        <f>('DCF Valuation'!$B$16+('DCF Valuation'!$F$3*(1+F$2)/(($A3)-F$2))*'DCF Valuation'!$F$5+'DCF Valuation'!$B$22-'DCF Valuation'!$B$23)/'DCF Valuation'!$B$25</f>
        <v>378.95009660121877</v>
      </c>
    </row>
    <row r="4" spans="1:6" x14ac:dyDescent="0.35">
      <c r="A4" s="14">
        <v>8.5000000000000006E-2</v>
      </c>
      <c r="B4" s="23">
        <f>('DCF Valuation'!$B$16+('DCF Valuation'!$F$3*(1+B$2)/(($A4)-B$2))*'DCF Valuation'!$F$5+'DCF Valuation'!$B$22-'DCF Valuation'!$B$23)/'DCF Valuation'!$B$25</f>
        <v>253.66162064504863</v>
      </c>
      <c r="C4" s="23">
        <f>('DCF Valuation'!$B$16+('DCF Valuation'!$F$3*(1+C$2)/(($A4)-C$2))*'DCF Valuation'!$F$5+'DCF Valuation'!$B$22-'DCF Valuation'!$B$23)/'DCF Valuation'!$B$25</f>
        <v>270.56933164162132</v>
      </c>
      <c r="D4" s="23">
        <f>('DCF Valuation'!$B$16+('DCF Valuation'!$F$3*(1+D$2)/(($A4)-D$2))*'DCF Valuation'!$F$5+'DCF Valuation'!$B$22-'DCF Valuation'!$B$23)/'DCF Valuation'!$B$25</f>
        <v>290.55117191029825</v>
      </c>
      <c r="E4" s="23">
        <f>('DCF Valuation'!$B$16+('DCF Valuation'!$F$3*(1+E$2)/(($A4)-E$2))*'DCF Valuation'!$F$5+'DCF Valuation'!$B$22-'DCF Valuation'!$B$23)/'DCF Valuation'!$B$25</f>
        <v>314.52938023271048</v>
      </c>
      <c r="F4" s="23">
        <f>('DCF Valuation'!$B$16+('DCF Valuation'!$F$3*(1+F$2)/(($A4)-F$2))*'DCF Valuation'!$F$5+'DCF Valuation'!$B$22-'DCF Valuation'!$B$23)/'DCF Valuation'!$B$25</f>
        <v>343.83607929343646</v>
      </c>
    </row>
    <row r="5" spans="1:6" x14ac:dyDescent="0.35">
      <c r="A5" s="13">
        <v>0.09</v>
      </c>
      <c r="B5" s="23">
        <f>('DCF Valuation'!$B$16+('DCF Valuation'!$F$3*(1+B$2)/(($A5)-B$2))*'DCF Valuation'!$F$5+'DCF Valuation'!$B$22-'DCF Valuation'!$B$23)/'DCF Valuation'!$B$25</f>
        <v>240.03750065834365</v>
      </c>
      <c r="C5" s="23">
        <f>('DCF Valuation'!$B$16+('DCF Valuation'!$F$3*(1+C$2)/(($A5)-C$2))*'DCF Valuation'!$F$5+'DCF Valuation'!$B$22-'DCF Valuation'!$B$23)/'DCF Valuation'!$B$25</f>
        <v>254.59660927158728</v>
      </c>
      <c r="D5" s="23">
        <f>('DCF Valuation'!$B$16+('DCF Valuation'!$F$3*(1+D$2)/(($A5)-D$2))*'DCF Valuation'!$F$5+'DCF Valuation'!$B$22-'DCF Valuation'!$B$23)/'DCF Valuation'!$B$25</f>
        <v>271.58223598703819</v>
      </c>
      <c r="E5" s="23">
        <f>('DCF Valuation'!$B$16+('DCF Valuation'!$F$3*(1+E$2)/(($A5)-E$2))*'DCF Valuation'!$F$5+'DCF Valuation'!$B$22-'DCF Valuation'!$B$23)/'DCF Valuation'!$B$25</f>
        <v>291.65615846893479</v>
      </c>
      <c r="F5" s="23">
        <f>('DCF Valuation'!$B$16+('DCF Valuation'!$F$3*(1+F$2)/(($A5)-F$2))*'DCF Valuation'!$F$5+'DCF Valuation'!$B$22-'DCF Valuation'!$B$23)/'DCF Valuation'!$B$25</f>
        <v>315.7448654472106</v>
      </c>
    </row>
    <row r="6" spans="1:6" x14ac:dyDescent="0.35">
      <c r="A6" s="14">
        <v>9.5000000000000001E-2</v>
      </c>
      <c r="B6" s="23">
        <f>('DCF Valuation'!$B$16+('DCF Valuation'!$F$3*(1+B$2)/(($A6)-B$2))*'DCF Valuation'!$F$5+'DCF Valuation'!$B$22-'DCF Valuation'!$B$23)/'DCF Valuation'!$B$25</f>
        <v>228.22993000319923</v>
      </c>
      <c r="C6" s="23">
        <f>('DCF Valuation'!$B$16+('DCF Valuation'!$F$3*(1+C$2)/(($A6)-C$2))*'DCF Valuation'!$F$5+'DCF Valuation'!$B$22-'DCF Valuation'!$B$23)/'DCF Valuation'!$B$25</f>
        <v>240.90570438298658</v>
      </c>
      <c r="D6" s="23">
        <f>('DCF Valuation'!$B$16+('DCF Valuation'!$F$3*(1+D$2)/(($A6)-D$2))*'DCF Valuation'!$F$5+'DCF Valuation'!$B$22-'DCF Valuation'!$B$23)/'DCF Valuation'!$B$25</f>
        <v>255.53159789812585</v>
      </c>
      <c r="E6" s="23">
        <f>('DCF Valuation'!$B$16+('DCF Valuation'!$F$3*(1+E$2)/(($A6)-E$2))*'DCF Valuation'!$F$5+'DCF Valuation'!$B$22-'DCF Valuation'!$B$23)/'DCF Valuation'!$B$25</f>
        <v>272.59514033245495</v>
      </c>
      <c r="F6" s="23">
        <f>('DCF Valuation'!$B$16+('DCF Valuation'!$F$3*(1+F$2)/(($A6)-F$2))*'DCF Valuation'!$F$5+'DCF Valuation'!$B$22-'DCF Valuation'!$B$23)/'DCF Valuation'!$B$25</f>
        <v>292.76114502757127</v>
      </c>
    </row>
    <row r="7" spans="1:6" x14ac:dyDescent="0.35">
      <c r="A7" s="15">
        <v>0.1</v>
      </c>
      <c r="B7" s="23">
        <f>('DCF Valuation'!$B$16+('DCF Valuation'!$F$3*(1+B$2)/(($A7)-B$2))*'DCF Valuation'!$F$5+'DCF Valuation'!$B$22-'DCF Valuation'!$B$23)/'DCF Valuation'!$B$25</f>
        <v>217.89830567994784</v>
      </c>
      <c r="C7" s="23">
        <f>('DCF Valuation'!$B$16+('DCF Valuation'!$F$3*(1+C$2)/(($A7)-C$2))*'DCF Valuation'!$F$5+'DCF Valuation'!$B$22-'DCF Valuation'!$B$23)/'DCF Valuation'!$B$25</f>
        <v>229.04025347953265</v>
      </c>
      <c r="D7" s="23">
        <f>('DCF Valuation'!$B$16+('DCF Valuation'!$F$3*(1+D$2)/(($A7)-D$2))*'DCF Valuation'!$F$5+'DCF Valuation'!$B$22-'DCF Valuation'!$B$23)/'DCF Valuation'!$B$25</f>
        <v>241.77390810762952</v>
      </c>
      <c r="E7" s="23">
        <f>('DCF Valuation'!$B$16+('DCF Valuation'!$F$3*(1+E$2)/(($A7)-E$2))*'DCF Valuation'!$F$5+'DCF Valuation'!$B$22-'DCF Valuation'!$B$23)/'DCF Valuation'!$B$25</f>
        <v>256.46658652466448</v>
      </c>
      <c r="F7" s="23">
        <f>('DCF Valuation'!$B$16+('DCF Valuation'!$F$3*(1+F$2)/(($A7)-F$2))*'DCF Valuation'!$F$5+'DCF Valuation'!$B$22-'DCF Valuation'!$B$23)/'DCF Valuation'!$B$25</f>
        <v>273.60804467787176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Historical Financials</vt:lpstr>
      <vt:lpstr>Forecast</vt:lpstr>
      <vt:lpstr>WACC</vt:lpstr>
      <vt:lpstr>DCF Valuation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 Raniga</dc:creator>
  <cp:lastModifiedBy>Vai Raniga</cp:lastModifiedBy>
  <dcterms:created xsi:type="dcterms:W3CDTF">2026-09-03T19:55:07Z</dcterms:created>
  <dcterms:modified xsi:type="dcterms:W3CDTF">2026-09-04T23:29:37Z</dcterms:modified>
</cp:coreProperties>
</file>